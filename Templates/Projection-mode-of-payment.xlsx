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MMSC\analysis for Turnitin\"/>
    </mc:Choice>
  </mc:AlternateContent>
  <xr:revisionPtr revIDLastSave="0" documentId="13_ncr:1_{CCF50427-7487-4037-9F5F-7CB1B85412B4}" xr6:coauthVersionLast="47" xr6:coauthVersionMax="47" xr10:uidLastSave="{00000000-0000-0000-0000-000000000000}"/>
  <bookViews>
    <workbookView xWindow="-108" yWindow="-108" windowWidth="23256" windowHeight="12576" xr2:uid="{E50C7D97-86FA-493E-8901-A91136D87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I28" i="1" s="1"/>
  <c r="H21" i="1"/>
  <c r="H22" i="1"/>
  <c r="H23" i="1"/>
  <c r="H20" i="1"/>
  <c r="H11" i="1"/>
  <c r="H12" i="1"/>
  <c r="H13" i="1"/>
  <c r="H14" i="1"/>
  <c r="H15" i="1"/>
  <c r="H16" i="1"/>
  <c r="H17" i="1"/>
  <c r="H18" i="1"/>
  <c r="H10" i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G18" i="1"/>
  <c r="G20" i="1"/>
  <c r="G21" i="1"/>
  <c r="I21" i="1" s="1"/>
  <c r="G22" i="1"/>
  <c r="I22" i="1" s="1"/>
  <c r="G23" i="1"/>
  <c r="I23" i="1" s="1"/>
  <c r="G10" i="1"/>
  <c r="H30" i="1" l="1"/>
  <c r="I20" i="1"/>
  <c r="I18" i="1"/>
  <c r="I17" i="1"/>
  <c r="I29" i="1"/>
  <c r="I30" i="1" s="1"/>
  <c r="H24" i="1"/>
  <c r="H33" i="1" s="1"/>
  <c r="I10" i="1"/>
  <c r="I24" i="1" s="1"/>
  <c r="G24" i="1"/>
  <c r="G30" i="1" s="1"/>
  <c r="I33" i="1" l="1"/>
  <c r="H31" i="1"/>
  <c r="H25" i="1"/>
  <c r="H34" i="1" l="1"/>
</calcChain>
</file>

<file path=xl/sharedStrings.xml><?xml version="1.0" encoding="utf-8"?>
<sst xmlns="http://schemas.openxmlformats.org/spreadsheetml/2006/main" count="39" uniqueCount="31">
  <si>
    <t>3rd</t>
  </si>
  <si>
    <t>4th</t>
  </si>
  <si>
    <t>Thesis Schedule</t>
  </si>
  <si>
    <t>Colleges</t>
  </si>
  <si>
    <t>College of Agriculture</t>
  </si>
  <si>
    <t>College of Arts and Sciences</t>
  </si>
  <si>
    <t>Bayombong Campus</t>
  </si>
  <si>
    <t>College of Teacher Education</t>
  </si>
  <si>
    <t>College of Forestry ERM</t>
  </si>
  <si>
    <t>College of Engineering</t>
  </si>
  <si>
    <t>College of Information Technology Education</t>
  </si>
  <si>
    <t>College of Human Ecology</t>
  </si>
  <si>
    <t>College of Veterinary Medicine</t>
  </si>
  <si>
    <t>College of Business Education</t>
  </si>
  <si>
    <t>Bambang Campus</t>
  </si>
  <si>
    <t>College of arts and Sciences</t>
  </si>
  <si>
    <t>College of Industrial Education</t>
  </si>
  <si>
    <t>Total</t>
  </si>
  <si>
    <t>1st</t>
  </si>
  <si>
    <t>2nd</t>
  </si>
  <si>
    <t>Estimated Collection</t>
  </si>
  <si>
    <t>C) TOTAL ESTIMATED COLLECTION</t>
  </si>
  <si>
    <t>per Semester</t>
  </si>
  <si>
    <t>Whole Year</t>
  </si>
  <si>
    <t xml:space="preserve">For Collection </t>
  </si>
  <si>
    <t>A) UNDERGRADUATE (P 100.00/sem)</t>
  </si>
  <si>
    <t>B) GRADUATE SCHOOL (P 250.00/sem)</t>
  </si>
  <si>
    <t>Proposed Subscription Fee (Collection Mode)</t>
  </si>
  <si>
    <t>Undergraduate</t>
  </si>
  <si>
    <t>Graduate/Faculty/Staff</t>
  </si>
  <si>
    <t>/sem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</si>
</sst>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43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/>
    <xf numFmtId="0" fontId="0" fillId="4" borderId="2" xfId="0" applyFill="1" applyBorder="1"/>
    <xf numFmtId="0" fontId="0" fillId="4" borderId="4" xfId="0" applyFill="1" applyBorder="1"/>
    <xf numFmtId="0" fontId="0" fillId="4" borderId="3" xfId="0" applyFill="1" applyBorder="1"/>
    <xf numFmtId="43" fontId="0" fillId="4" borderId="1" xfId="0" applyNumberFormat="1" applyFill="1" applyBorder="1"/>
    <xf numFmtId="43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0" applyNumberFormat="1" applyFill="1" applyBorder="1" applyAlignment="1">
      <alignment horizontal="center"/>
    </xf>
    <xf numFmtId="4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FBD5-ADE1-4C61-BFC1-2D0BA5FFB3B0}">
  <dimension ref="C2:J34"/>
  <sheetViews>
    <sheetView tabSelected="1" topLeftCell="A3" workbookViewId="0">
      <selection activeCell="H29" sqref="H29"/>
    </sheetView>
  </sheetViews>
  <sheetFormatPr defaultRowHeight="14.4" x14ac:dyDescent="0.3"/>
  <cols>
    <col min="3" max="3" width="2.77734375" customWidth="1"/>
    <col min="4" max="4" width="37.33203125" customWidth="1"/>
    <col min="8" max="10" width="11.21875" bestFit="1" customWidth="1"/>
  </cols>
  <sheetData>
    <row r="2" spans="3:10" x14ac:dyDescent="0.3">
      <c r="D2" t="s">
        <v>27</v>
      </c>
    </row>
    <row r="3" spans="3:10" x14ac:dyDescent="0.3">
      <c r="D3" s="10" t="s">
        <v>28</v>
      </c>
      <c r="E3">
        <v>100</v>
      </c>
      <c r="F3" s="11" t="s">
        <v>30</v>
      </c>
    </row>
    <row r="4" spans="3:10" x14ac:dyDescent="0.3">
      <c r="D4" s="10" t="s">
        <v>29</v>
      </c>
      <c r="E4">
        <v>250</v>
      </c>
      <c r="F4" s="11" t="s">
        <v>30</v>
      </c>
    </row>
    <row r="6" spans="3:10" x14ac:dyDescent="0.3">
      <c r="C6" s="2" t="s">
        <v>3</v>
      </c>
      <c r="D6" s="2"/>
      <c r="E6" s="3" t="s">
        <v>2</v>
      </c>
      <c r="F6" s="3"/>
      <c r="G6" s="4" t="s">
        <v>17</v>
      </c>
      <c r="H6" s="22" t="s">
        <v>24</v>
      </c>
      <c r="I6" s="22"/>
    </row>
    <row r="7" spans="3:10" x14ac:dyDescent="0.3">
      <c r="C7" s="2"/>
      <c r="D7" s="2"/>
      <c r="E7" s="4" t="s">
        <v>0</v>
      </c>
      <c r="F7" s="4" t="s">
        <v>1</v>
      </c>
      <c r="G7" s="4"/>
      <c r="H7" s="18" t="s">
        <v>18</v>
      </c>
      <c r="I7" s="18" t="s">
        <v>19</v>
      </c>
    </row>
    <row r="8" spans="3:10" x14ac:dyDescent="0.3">
      <c r="C8" s="7" t="s">
        <v>25</v>
      </c>
      <c r="D8" s="8"/>
      <c r="E8" s="4"/>
      <c r="F8" s="4"/>
      <c r="G8" s="4"/>
      <c r="H8" s="18"/>
      <c r="I8" s="18"/>
    </row>
    <row r="9" spans="3:10" x14ac:dyDescent="0.3">
      <c r="C9" s="5" t="s">
        <v>6</v>
      </c>
      <c r="D9" s="6"/>
      <c r="E9" s="4"/>
      <c r="F9" s="4"/>
      <c r="G9" s="4"/>
      <c r="H9" s="18"/>
      <c r="I9" s="18"/>
    </row>
    <row r="10" spans="3:10" x14ac:dyDescent="0.3">
      <c r="C10" s="5"/>
      <c r="D10" s="5" t="s">
        <v>4</v>
      </c>
      <c r="E10" s="4"/>
      <c r="F10" s="4">
        <v>182</v>
      </c>
      <c r="G10" s="4">
        <f>F10+E10</f>
        <v>182</v>
      </c>
      <c r="H10" s="19">
        <f>G10*E$3</f>
        <v>18200</v>
      </c>
      <c r="I10" s="19">
        <f>H10</f>
        <v>18200</v>
      </c>
      <c r="J10" s="1"/>
    </row>
    <row r="11" spans="3:10" x14ac:dyDescent="0.3">
      <c r="C11" s="5"/>
      <c r="D11" s="5" t="s">
        <v>5</v>
      </c>
      <c r="E11" s="4"/>
      <c r="F11" s="4">
        <v>75</v>
      </c>
      <c r="G11" s="4">
        <f t="shared" ref="G11:G23" si="0">F11+E11</f>
        <v>75</v>
      </c>
      <c r="H11" s="19">
        <f t="shared" ref="H11:H23" si="1">G11*E$3</f>
        <v>7500</v>
      </c>
      <c r="I11" s="19">
        <f t="shared" ref="I11:I23" si="2">H11</f>
        <v>7500</v>
      </c>
      <c r="J11" s="1"/>
    </row>
    <row r="12" spans="3:10" x14ac:dyDescent="0.3">
      <c r="C12" s="5"/>
      <c r="D12" s="5" t="s">
        <v>7</v>
      </c>
      <c r="E12" s="4">
        <v>508</v>
      </c>
      <c r="F12" s="4"/>
      <c r="G12" s="4">
        <f t="shared" si="0"/>
        <v>508</v>
      </c>
      <c r="H12" s="19">
        <f t="shared" si="1"/>
        <v>50800</v>
      </c>
      <c r="I12" s="19">
        <f t="shared" si="2"/>
        <v>50800</v>
      </c>
      <c r="J12" s="1"/>
    </row>
    <row r="13" spans="3:10" x14ac:dyDescent="0.3">
      <c r="C13" s="5"/>
      <c r="D13" s="5" t="s">
        <v>8</v>
      </c>
      <c r="E13" s="4"/>
      <c r="F13" s="4">
        <v>229</v>
      </c>
      <c r="G13" s="4">
        <f t="shared" si="0"/>
        <v>229</v>
      </c>
      <c r="H13" s="19">
        <f t="shared" si="1"/>
        <v>22900</v>
      </c>
      <c r="I13" s="19">
        <f t="shared" si="2"/>
        <v>22900</v>
      </c>
      <c r="J13" s="1"/>
    </row>
    <row r="14" spans="3:10" x14ac:dyDescent="0.3">
      <c r="C14" s="5"/>
      <c r="D14" s="5" t="s">
        <v>9</v>
      </c>
      <c r="E14" s="4"/>
      <c r="F14" s="4">
        <v>290</v>
      </c>
      <c r="G14" s="4">
        <f t="shared" si="0"/>
        <v>290</v>
      </c>
      <c r="H14" s="19">
        <f t="shared" si="1"/>
        <v>29000</v>
      </c>
      <c r="I14" s="19">
        <f t="shared" si="2"/>
        <v>29000</v>
      </c>
      <c r="J14" s="1"/>
    </row>
    <row r="15" spans="3:10" x14ac:dyDescent="0.3">
      <c r="C15" s="5"/>
      <c r="D15" s="5" t="s">
        <v>10</v>
      </c>
      <c r="E15" s="4">
        <v>296</v>
      </c>
      <c r="F15" s="4"/>
      <c r="G15" s="4">
        <f t="shared" si="0"/>
        <v>296</v>
      </c>
      <c r="H15" s="19">
        <f t="shared" si="1"/>
        <v>29600</v>
      </c>
      <c r="I15" s="19">
        <f t="shared" si="2"/>
        <v>29600</v>
      </c>
      <c r="J15" s="1"/>
    </row>
    <row r="16" spans="3:10" x14ac:dyDescent="0.3">
      <c r="C16" s="5"/>
      <c r="D16" s="5" t="s">
        <v>11</v>
      </c>
      <c r="E16" s="4"/>
      <c r="F16" s="4">
        <v>211</v>
      </c>
      <c r="G16" s="4">
        <f t="shared" si="0"/>
        <v>211</v>
      </c>
      <c r="H16" s="19">
        <f t="shared" si="1"/>
        <v>21100</v>
      </c>
      <c r="I16" s="19">
        <f t="shared" si="2"/>
        <v>21100</v>
      </c>
      <c r="J16" s="1"/>
    </row>
    <row r="17" spans="3:10" x14ac:dyDescent="0.3">
      <c r="C17" s="5"/>
      <c r="D17" s="5" t="s">
        <v>12</v>
      </c>
      <c r="E17" s="4">
        <v>115</v>
      </c>
      <c r="F17" s="4"/>
      <c r="G17" s="4">
        <f t="shared" si="0"/>
        <v>115</v>
      </c>
      <c r="H17" s="19">
        <f t="shared" si="1"/>
        <v>11500</v>
      </c>
      <c r="I17" s="19">
        <f t="shared" si="2"/>
        <v>11500</v>
      </c>
      <c r="J17" s="1"/>
    </row>
    <row r="18" spans="3:10" x14ac:dyDescent="0.3">
      <c r="C18" s="5"/>
      <c r="D18" s="5" t="s">
        <v>13</v>
      </c>
      <c r="E18" s="4">
        <v>346</v>
      </c>
      <c r="F18" s="4"/>
      <c r="G18" s="4">
        <f t="shared" si="0"/>
        <v>346</v>
      </c>
      <c r="H18" s="19">
        <f t="shared" si="1"/>
        <v>34600</v>
      </c>
      <c r="I18" s="19">
        <f t="shared" si="2"/>
        <v>34600</v>
      </c>
      <c r="J18" s="1"/>
    </row>
    <row r="19" spans="3:10" x14ac:dyDescent="0.3">
      <c r="C19" s="5" t="s">
        <v>14</v>
      </c>
      <c r="D19" s="5"/>
      <c r="E19" s="4"/>
      <c r="F19" s="4"/>
      <c r="G19" s="4"/>
      <c r="H19" s="19"/>
      <c r="I19" s="19"/>
      <c r="J19" s="1"/>
    </row>
    <row r="20" spans="3:10" x14ac:dyDescent="0.3">
      <c r="C20" s="5"/>
      <c r="D20" s="5" t="s">
        <v>15</v>
      </c>
      <c r="E20" s="4"/>
      <c r="F20" s="4">
        <v>312</v>
      </c>
      <c r="G20" s="4">
        <f t="shared" si="0"/>
        <v>312</v>
      </c>
      <c r="H20" s="19">
        <f t="shared" si="1"/>
        <v>31200</v>
      </c>
      <c r="I20" s="19">
        <f t="shared" si="2"/>
        <v>31200</v>
      </c>
      <c r="J20" s="1"/>
    </row>
    <row r="21" spans="3:10" x14ac:dyDescent="0.3">
      <c r="C21" s="5"/>
      <c r="D21" s="5" t="s">
        <v>7</v>
      </c>
      <c r="E21" s="4">
        <v>199</v>
      </c>
      <c r="F21" s="4"/>
      <c r="G21" s="4">
        <f t="shared" si="0"/>
        <v>199</v>
      </c>
      <c r="H21" s="19">
        <f t="shared" si="1"/>
        <v>19900</v>
      </c>
      <c r="I21" s="19">
        <f t="shared" si="2"/>
        <v>19900</v>
      </c>
      <c r="J21" s="1"/>
    </row>
    <row r="22" spans="3:10" x14ac:dyDescent="0.3">
      <c r="C22" s="5"/>
      <c r="D22" s="5" t="s">
        <v>9</v>
      </c>
      <c r="E22" s="4"/>
      <c r="F22" s="4">
        <v>220</v>
      </c>
      <c r="G22" s="4">
        <f t="shared" si="0"/>
        <v>220</v>
      </c>
      <c r="H22" s="19">
        <f t="shared" si="1"/>
        <v>22000</v>
      </c>
      <c r="I22" s="19">
        <f t="shared" si="2"/>
        <v>22000</v>
      </c>
      <c r="J22" s="1"/>
    </row>
    <row r="23" spans="3:10" x14ac:dyDescent="0.3">
      <c r="C23" s="5"/>
      <c r="D23" s="5" t="s">
        <v>16</v>
      </c>
      <c r="E23" s="4">
        <v>709</v>
      </c>
      <c r="F23" s="4"/>
      <c r="G23" s="4">
        <f t="shared" si="0"/>
        <v>709</v>
      </c>
      <c r="H23" s="19">
        <f t="shared" si="1"/>
        <v>70900</v>
      </c>
      <c r="I23" s="19">
        <f t="shared" si="2"/>
        <v>70900</v>
      </c>
      <c r="J23" s="1"/>
    </row>
    <row r="24" spans="3:10" x14ac:dyDescent="0.3">
      <c r="C24" s="5" t="s">
        <v>17</v>
      </c>
      <c r="D24" s="5"/>
      <c r="E24" s="4"/>
      <c r="F24" s="4"/>
      <c r="G24" s="4">
        <f>SUM(G10:G23)</f>
        <v>3692</v>
      </c>
      <c r="H24" s="19">
        <f>SUM(H10:H23)</f>
        <v>369200</v>
      </c>
      <c r="I24" s="19">
        <f>SUM(I10:I23)</f>
        <v>369200</v>
      </c>
      <c r="J24" s="1"/>
    </row>
    <row r="25" spans="3:10" x14ac:dyDescent="0.3">
      <c r="G25" t="s">
        <v>20</v>
      </c>
      <c r="H25" s="21">
        <f>H24+I24</f>
        <v>738400</v>
      </c>
      <c r="I25" s="22"/>
    </row>
    <row r="27" spans="3:10" x14ac:dyDescent="0.3">
      <c r="C27" s="7" t="s">
        <v>26</v>
      </c>
      <c r="D27" s="8"/>
      <c r="E27" s="4"/>
      <c r="F27" s="4"/>
      <c r="G27" s="4"/>
      <c r="H27" s="18"/>
      <c r="I27" s="18"/>
    </row>
    <row r="28" spans="3:10" x14ac:dyDescent="0.3">
      <c r="C28" s="5" t="s">
        <v>6</v>
      </c>
      <c r="D28" s="6"/>
      <c r="E28" s="4"/>
      <c r="F28" s="4"/>
      <c r="G28" s="4">
        <v>424</v>
      </c>
      <c r="H28" s="19">
        <f>G28*E$4</f>
        <v>106000</v>
      </c>
      <c r="I28" s="20">
        <f>H28</f>
        <v>106000</v>
      </c>
    </row>
    <row r="29" spans="3:10" x14ac:dyDescent="0.3">
      <c r="C29" s="5" t="s">
        <v>14</v>
      </c>
      <c r="D29" s="5"/>
      <c r="E29" s="4"/>
      <c r="F29" s="4"/>
      <c r="G29" s="4">
        <v>127</v>
      </c>
      <c r="H29" s="19">
        <f>G29*E$4</f>
        <v>31750</v>
      </c>
      <c r="I29" s="19">
        <f>H29</f>
        <v>31750</v>
      </c>
    </row>
    <row r="30" spans="3:10" x14ac:dyDescent="0.3">
      <c r="C30" s="5" t="s">
        <v>17</v>
      </c>
      <c r="D30" s="5"/>
      <c r="E30" s="4"/>
      <c r="F30" s="4"/>
      <c r="G30" s="4">
        <f>SUM(G16:G29)</f>
        <v>6355</v>
      </c>
      <c r="H30" s="19">
        <f>H29+H28</f>
        <v>137750</v>
      </c>
      <c r="I30" s="19">
        <f>I29+I28</f>
        <v>137750</v>
      </c>
      <c r="J30" s="1"/>
    </row>
    <row r="31" spans="3:10" x14ac:dyDescent="0.3">
      <c r="G31" t="s">
        <v>20</v>
      </c>
      <c r="H31" s="21">
        <f>H30+I30</f>
        <v>275500</v>
      </c>
      <c r="I31" s="22"/>
      <c r="J31" s="9"/>
    </row>
    <row r="33" spans="3:9" x14ac:dyDescent="0.3">
      <c r="C33" s="12" t="s">
        <v>21</v>
      </c>
      <c r="D33" s="13"/>
      <c r="E33" s="13"/>
      <c r="F33" s="13" t="s">
        <v>22</v>
      </c>
      <c r="G33" s="14"/>
      <c r="H33" s="15">
        <f>H24+H30</f>
        <v>506950</v>
      </c>
      <c r="I33" s="15">
        <f>I24+I30</f>
        <v>506950</v>
      </c>
    </row>
    <row r="34" spans="3:9" x14ac:dyDescent="0.3">
      <c r="C34" s="12"/>
      <c r="D34" s="13"/>
      <c r="E34" s="13"/>
      <c r="F34" s="13" t="s">
        <v>23</v>
      </c>
      <c r="G34" s="14"/>
      <c r="H34" s="16">
        <f>H25+H31</f>
        <v>1013900</v>
      </c>
      <c r="I34" s="17"/>
    </row>
  </sheetData>
  <mergeCells count="8">
    <mergeCell ref="C27:D27"/>
    <mergeCell ref="H31:I31"/>
    <mergeCell ref="H34:I34"/>
    <mergeCell ref="E6:F6"/>
    <mergeCell ref="H6:I6"/>
    <mergeCell ref="C6:D7"/>
    <mergeCell ref="H25:I25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NVSU_Julius S. Valderama</dc:creator>
  <cp:lastModifiedBy>NVSU_Julius S. Valderama</cp:lastModifiedBy>
  <dcterms:created xsi:type="dcterms:W3CDTF">2025-07-21T02:02:01Z</dcterms:created>
  <dcterms:modified xsi:type="dcterms:W3CDTF">2025-07-21T18:41:29Z</dcterms:modified>
</cp:coreProperties>
</file>